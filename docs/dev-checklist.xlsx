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  <sheet name="Spec_Headers" sheetId="3" state="visible" r:id="rId3"/>
  </sheets>
  <definedNames>
    <definedName name="_xlnm._FilterDatabase" localSheetId="0" hidden="1">'Checklist'!$A$1:$K$34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i val="1"/>
      <color rgb="000563C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28" customWidth="1" min="4" max="4"/>
    <col width="40" customWidth="1" min="5" max="5"/>
    <col width="10" customWidth="1" min="6" max="6"/>
    <col width="35" customWidth="1" min="7" max="7"/>
    <col width="12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Hạng mục</t>
        </is>
      </c>
      <c r="D1" s="1" t="inlineStr">
        <is>
          <t>Hiện trạng Dev</t>
        </is>
      </c>
      <c r="E1" s="1" t="inlineStr">
        <is>
          <t>Yêu cầu cần đạt</t>
        </is>
      </c>
      <c r="F1" s="1" t="inlineStr">
        <is>
          <t>Priority</t>
        </is>
      </c>
      <c r="G1" s="1" t="inlineStr">
        <is>
          <t>Cách test</t>
        </is>
      </c>
      <c r="H1" s="1" t="inlineStr">
        <is>
          <t>Trạng thái</t>
        </is>
      </c>
      <c r="I1" s="1" t="inlineStr">
        <is>
          <t>Người fix</t>
        </is>
      </c>
      <c r="J1" s="1" t="inlineStr">
        <is>
          <t>Ngày verify</t>
        </is>
      </c>
      <c r="K1" s="1" t="inlineStr">
        <is>
          <t>Ghi chú</t>
        </is>
      </c>
    </row>
    <row r="2" ht="45" customHeight="1">
      <c r="A2" s="2" t="inlineStr">
        <is>
          <t>LCH-02</t>
        </is>
      </c>
      <c r="B2" s="2" t="inlineStr">
        <is>
          <t>Lịch chạy</t>
        </is>
      </c>
      <c r="C2" s="2" t="inlineStr">
        <is>
          <t>Filter bar (Tuyến/Nhà xe/Trạng thái)</t>
        </is>
      </c>
      <c r="D2" s="2" t="inlineStr">
        <is>
          <t>Có nhưng cần kiểm tra</t>
        </is>
      </c>
      <c r="E2" s="2" t="inlineStr">
        <is>
          <t>Filter chạy đúng + nút Reset clear filter</t>
        </is>
      </c>
      <c r="F2" s="3" t="inlineStr">
        <is>
          <t>P2</t>
        </is>
      </c>
      <c r="G2" s="2" t="inlineStr">
        <is>
          <t>Filter theo nhà xe → table cập nhật. Bấm Reset → về Tất cả</t>
        </is>
      </c>
      <c r="H2" s="4" t="inlineStr">
        <is>
          <t>Open</t>
        </is>
      </c>
      <c r="I2" s="2" t="inlineStr"/>
      <c r="J2" s="2" t="inlineStr"/>
      <c r="K2" s="2" t="inlineStr"/>
    </row>
    <row r="3" ht="45" customHeight="1">
      <c r="A3" s="2" t="inlineStr">
        <is>
          <t>LCH-04</t>
        </is>
      </c>
      <c r="B3" s="2" t="inlineStr">
        <is>
          <t>Lịch chạy</t>
        </is>
      </c>
      <c r="C3" s="2" t="inlineStr">
        <is>
          <t>Pagination 10/20/50 per page</t>
        </is>
      </c>
      <c r="D3" s="2" t="inlineStr">
        <is>
          <t>Có nhưng cần kiểm tra</t>
        </is>
      </c>
      <c r="E3" s="2" t="inlineStr">
        <is>
          <t>Đổi page size + chuyển trang hoạt động đúng</t>
        </is>
      </c>
      <c r="F3" s="3" t="inlineStr">
        <is>
          <t>P2</t>
        </is>
      </c>
      <c r="G3" s="2" t="inlineStr">
        <is>
          <t>Đổi 10/page → 20/page; next page</t>
        </is>
      </c>
      <c r="H3" s="4" t="inlineStr">
        <is>
          <t>Open</t>
        </is>
      </c>
      <c r="I3" s="2" t="inlineStr"/>
      <c r="J3" s="2" t="inlineStr"/>
      <c r="K3" s="2" t="inlineStr"/>
    </row>
    <row r="4" ht="45" customHeight="1">
      <c r="A4" s="2" t="inlineStr">
        <is>
          <t>RT-01</t>
        </is>
      </c>
      <c r="B4" s="2" t="inlineStr">
        <is>
          <t>Tuyến đường</t>
        </is>
      </c>
      <c r="C4" s="2" t="inlineStr">
        <is>
          <t>Cột Điểm dừng</t>
        </is>
      </c>
      <c r="D4" s="2" t="inlineStr">
        <is>
          <t>THIẾU</t>
        </is>
      </c>
      <c r="E4" s="2" t="inlineStr">
        <is>
          <t>Thêm cột Điểm dừng (hiển thị rút gọn "BX Miền Đông + 3 điểm")</t>
        </is>
      </c>
      <c r="F4" s="5" t="inlineStr">
        <is>
          <t>P0</t>
        </is>
      </c>
      <c r="G4" s="2" t="inlineStr">
        <is>
          <t>Mở Tuyến đường → cột Điểm dừng phải có</t>
        </is>
      </c>
      <c r="H4" s="4" t="inlineStr">
        <is>
          <t>Open</t>
        </is>
      </c>
      <c r="I4" s="2" t="inlineStr"/>
      <c r="J4" s="2" t="inlineStr"/>
      <c r="K4" s="2" t="inlineStr"/>
    </row>
    <row r="5" ht="45" customHeight="1">
      <c r="A5" s="2" t="inlineStr">
        <is>
          <t>RT-02</t>
        </is>
      </c>
      <c r="B5" s="2" t="inlineStr">
        <is>
          <t>Tuyến đường</t>
        </is>
      </c>
      <c r="C5" s="2" t="inlineStr">
        <is>
          <t>Cột Nhà xe khai thác</t>
        </is>
      </c>
      <c r="D5" s="2" t="inlineStr">
        <is>
          <t>THIẾU</t>
        </is>
      </c>
      <c r="E5" s="2" t="inlineStr">
        <is>
          <t>Thêm cột Nhà xe (multi badge nếu nhiều nhà xe)</t>
        </is>
      </c>
      <c r="F5" s="5" t="inlineStr">
        <is>
          <t>P0</t>
        </is>
      </c>
      <c r="G5" s="2" t="inlineStr">
        <is>
          <t>Tuyến HCM-Đà Lạt phải show 2 nhà xe</t>
        </is>
      </c>
      <c r="H5" s="4" t="inlineStr">
        <is>
          <t>Open</t>
        </is>
      </c>
      <c r="I5" s="2" t="inlineStr"/>
      <c r="J5" s="2" t="inlineStr"/>
      <c r="K5" s="2" t="inlineStr"/>
    </row>
    <row r="6" ht="45" customHeight="1">
      <c r="A6" s="2" t="inlineStr">
        <is>
          <t>PTR-01</t>
        </is>
      </c>
      <c r="B6" s="2" t="inlineStr">
        <is>
          <t>Nhà xe</t>
        </is>
      </c>
      <c r="C6" s="2" t="inlineStr">
        <is>
          <t>Cột Tuyến đường phục vụ</t>
        </is>
      </c>
      <c r="D6" s="2" t="inlineStr">
        <is>
          <t>THIẾU</t>
        </is>
      </c>
      <c r="E6" s="2" t="inlineStr">
        <is>
          <t>Thêm cột Tuyến (badges các tuyến nhà xe khai thác)</t>
        </is>
      </c>
      <c r="F6" s="5" t="inlineStr">
        <is>
          <t>P0</t>
        </is>
      </c>
      <c r="G6" s="2" t="inlineStr">
        <is>
          <t>PTR001 Phương Trang phải show 3 tuyến</t>
        </is>
      </c>
      <c r="H6" s="4" t="inlineStr">
        <is>
          <t>Open</t>
        </is>
      </c>
      <c r="I6" s="2" t="inlineStr"/>
      <c r="J6" s="2" t="inlineStr"/>
      <c r="K6" s="2" t="inlineStr"/>
    </row>
    <row r="7" ht="45" customHeight="1">
      <c r="A7" s="2" t="inlineStr">
        <is>
          <t>DRV-01</t>
        </is>
      </c>
      <c r="B7" s="2" t="inlineStr">
        <is>
          <t>Tài xế</t>
        </is>
      </c>
      <c r="C7" s="2" t="inlineStr">
        <is>
          <t>Cột Nhà xe (Operator)</t>
        </is>
      </c>
      <c r="D7" s="2" t="inlineStr">
        <is>
          <t>THIẾU</t>
        </is>
      </c>
      <c r="E7" s="2" t="inlineStr">
        <is>
          <t>Thêm cột Nhà xe - bắt buộc cho TX intercity, "Cá nhân" cho Bike/Car</t>
        </is>
      </c>
      <c r="F7" s="5" t="inlineStr">
        <is>
          <t>P0</t>
        </is>
      </c>
      <c r="G7" s="2" t="inlineStr">
        <is>
          <t>DRV005 phải show ""Phương Trang""</t>
        </is>
      </c>
      <c r="H7" s="4" t="inlineStr">
        <is>
          <t>Open</t>
        </is>
      </c>
      <c r="I7" s="2" t="inlineStr"/>
      <c r="J7" s="2" t="inlineStr"/>
      <c r="K7" s="2" t="inlineStr"/>
    </row>
    <row r="8" ht="45" customHeight="1">
      <c r="A8" s="2" t="inlineStr">
        <is>
          <t>DRV-02</t>
        </is>
      </c>
      <c r="B8" s="2" t="inlineStr">
        <is>
          <t>Tài xế</t>
        </is>
      </c>
      <c r="C8" s="2" t="inlineStr">
        <is>
          <t>Tách tab Bike/Car vs Intercity Drivers vs Intercity Vehicles</t>
        </is>
      </c>
      <c r="D8" s="2" t="inlineStr">
        <is>
          <t>GỘP SAI</t>
        </is>
      </c>
      <c r="E8" s="2" t="inlineStr">
        <is>
          <t>Tách 3 tab riêng: Bike/Car | Intercity Drivers (no plate) | Intercity Vehicles (no driver)</t>
        </is>
      </c>
      <c r="F8" s="5" t="inlineStr">
        <is>
          <t>P0</t>
        </is>
      </c>
      <c r="G8" s="2" t="inlineStr">
        <is>
          <t>Click tab Intercity Drivers → không có cột biển số</t>
        </is>
      </c>
      <c r="H8" s="4" t="inlineStr">
        <is>
          <t>Open</t>
        </is>
      </c>
      <c r="I8" s="2" t="inlineStr"/>
      <c r="J8" s="2" t="inlineStr"/>
      <c r="K8" s="2" t="inlineStr">
        <is>
          <t>2 pool khác nhau hoàn toàn</t>
        </is>
      </c>
    </row>
    <row r="9" ht="45" customHeight="1">
      <c r="A9" s="2" t="inlineStr">
        <is>
          <t>DRV-03</t>
        </is>
      </c>
      <c r="B9" s="2" t="inlineStr">
        <is>
          <t>Tài xế</t>
        </is>
      </c>
      <c r="C9" s="2" t="inlineStr">
        <is>
          <t>Cột Hạng GPLX cho TX liên tỉnh</t>
        </is>
      </c>
      <c r="D9" s="2" t="inlineStr">
        <is>
          <t>THIẾU</t>
        </is>
      </c>
      <c r="E9" s="2" t="inlineStr">
        <is>
          <t>Tab Intercity Drivers phải có cột Hạng GPLX (B2/C/D/E/F)</t>
        </is>
      </c>
      <c r="F9" s="6" t="inlineStr">
        <is>
          <t>P1</t>
        </is>
      </c>
      <c r="G9" s="2" t="inlineStr">
        <is>
          <t>DRV005 hạng E</t>
        </is>
      </c>
      <c r="H9" s="4" t="inlineStr">
        <is>
          <t>Open</t>
        </is>
      </c>
      <c r="I9" s="2" t="inlineStr"/>
      <c r="J9" s="2" t="inlineStr"/>
      <c r="K9" s="2" t="inlineStr"/>
    </row>
    <row r="10" ht="45" customHeight="1">
      <c r="A10" s="2" t="inlineStr">
        <is>
          <t>DRV-04</t>
        </is>
      </c>
      <c r="B10" s="2" t="inlineStr">
        <is>
          <t>Tài xế</t>
        </is>
      </c>
      <c r="C10" s="2" t="inlineStr">
        <is>
          <t>Thứ tự cột</t>
        </is>
      </c>
      <c r="D10" s="2" t="inlineStr">
        <is>
          <t>Trạng thái đặt giữa</t>
        </is>
      </c>
      <c r="E10" s="2" t="inlineStr">
        <is>
          <t>Đổi: STT, Mã, Họ tên, SĐT, Loại xe, Biển số, Nhà xe, Đánh giá, Số chuyến, Trạng thái</t>
        </is>
      </c>
      <c r="F10" s="6" t="inlineStr">
        <is>
          <t>P1</t>
        </is>
      </c>
      <c r="G10" s="2" t="inlineStr">
        <is>
          <t>Trạng thái phải sát cột Thao tác</t>
        </is>
      </c>
      <c r="H10" s="4" t="inlineStr">
        <is>
          <t>Open</t>
        </is>
      </c>
      <c r="I10" s="2" t="inlineStr"/>
      <c r="J10" s="2" t="inlineStr"/>
      <c r="K10" s="2" t="inlineStr"/>
    </row>
    <row r="11" ht="45" customHeight="1">
      <c r="A11" s="2" t="inlineStr">
        <is>
          <t>BK-01</t>
        </is>
      </c>
      <c r="B11" s="2" t="inlineStr">
        <is>
          <t>Giám sát đơn</t>
        </is>
      </c>
      <c r="C11" s="2" t="inlineStr">
        <is>
          <t>Cột Mã booking</t>
        </is>
      </c>
      <c r="D11" s="2" t="inlineStr">
        <is>
          <t>THIẾU</t>
        </is>
      </c>
      <c r="E11" s="2" t="inlineStr">
        <is>
          <t>Thêm cột Mã booking (vd RO-260527-100)</t>
        </is>
      </c>
      <c r="F11" s="5" t="inlineStr">
        <is>
          <t>P0</t>
        </is>
      </c>
      <c r="G11" s="2" t="inlineStr">
        <is>
          <t>Phải copy được mã đơn</t>
        </is>
      </c>
      <c r="H11" s="4" t="inlineStr">
        <is>
          <t>Open</t>
        </is>
      </c>
      <c r="I11" s="2" t="inlineStr"/>
      <c r="J11" s="2" t="inlineStr"/>
      <c r="K11" s="2" t="inlineStr"/>
    </row>
    <row r="12" ht="45" customHeight="1">
      <c r="A12" s="2" t="inlineStr">
        <is>
          <t>BK-02</t>
        </is>
      </c>
      <c r="B12" s="2" t="inlineStr">
        <is>
          <t>Giám sát đơn</t>
        </is>
      </c>
      <c r="C12" s="2" t="inlineStr">
        <is>
          <t>Cột Fulfillment status</t>
        </is>
      </c>
      <c r="D12" s="2" t="inlineStr">
        <is>
          <t>THIẾU</t>
        </is>
      </c>
      <c r="E12" s="2" t="inlineStr">
        <is>
          <t>Thêm cột Fulfillment (PENDING/ASSIGNED/IN_PROGRESS/COMPLETED/CANCELLED)</t>
        </is>
      </c>
      <c r="F12" s="5" t="inlineStr">
        <is>
          <t>P0</t>
        </is>
      </c>
      <c r="G12" s="2" t="inlineStr">
        <is>
          <t>BK100 phải show ""IN_PROGRESS"" ở cột Fulfillment</t>
        </is>
      </c>
      <c r="H12" s="4" t="inlineStr">
        <is>
          <t>Open</t>
        </is>
      </c>
      <c r="I12" s="2" t="inlineStr"/>
      <c r="J12" s="2" t="inlineStr"/>
      <c r="K12" s="2" t="inlineStr">
        <is>
          <t>1 trong 3 trục lifecycle</t>
        </is>
      </c>
    </row>
    <row r="13" ht="45" customHeight="1">
      <c r="A13" s="2" t="inlineStr">
        <is>
          <t>BK-04</t>
        </is>
      </c>
      <c r="B13" s="2" t="inlineStr">
        <is>
          <t>Giám sát đơn</t>
        </is>
      </c>
      <c r="C13" s="2" t="inlineStr">
        <is>
          <t>Tab Xe máy/Xe hơi hiện No data</t>
        </is>
      </c>
      <c r="D13" s="2" t="inlineStr">
        <is>
          <t>BUG</t>
        </is>
      </c>
      <c r="E13" s="2" t="inlineStr">
        <is>
          <t>Filter bookingType phải trả về data đúng</t>
        </is>
      </c>
      <c r="F13" s="5" t="inlineStr">
        <is>
          <t>P0</t>
        </is>
      </c>
      <c r="G13" s="2" t="inlineStr">
        <is>
          <t>Click tab Xe máy → có BK001 BK003 BK005</t>
        </is>
      </c>
      <c r="H13" s="4" t="inlineStr">
        <is>
          <t>Open</t>
        </is>
      </c>
      <c r="I13" s="2" t="inlineStr"/>
      <c r="J13" s="2" t="inlineStr"/>
      <c r="K13" s="2" t="inlineStr"/>
    </row>
    <row r="14" ht="45" customHeight="1">
      <c r="A14" s="2" t="inlineStr">
        <is>
          <t>BK-06</t>
        </is>
      </c>
      <c r="B14" s="2" t="inlineStr">
        <is>
          <t>Giám sát đơn</t>
        </is>
      </c>
      <c r="C14" s="2" t="inlineStr">
        <is>
          <t>Thứ tự cột chuẩn</t>
        </is>
      </c>
      <c r="D14" s="2" t="inlineStr">
        <is>
          <t>Sai thứ tự</t>
        </is>
      </c>
      <c r="E14" s="2" t="inlineStr">
        <is>
          <t>Mã booking, Loại, KH, Booking status, Payment status, Fulfillment status, Điểm đón, Điểm trả, Giá, Ngày tạo, Thao tác</t>
        </is>
      </c>
      <c r="F14" s="5" t="inlineStr">
        <is>
          <t>P0</t>
        </is>
      </c>
      <c r="G14" s="2" t="inlineStr">
        <is>
          <t>So spec headers</t>
        </is>
      </c>
      <c r="H14" s="4" t="inlineStr">
        <is>
          <t>Open</t>
        </is>
      </c>
      <c r="I14" s="2" t="inlineStr"/>
      <c r="J14" s="2" t="inlineStr"/>
      <c r="K14" s="2" t="inlineStr"/>
    </row>
    <row r="15" ht="45" customHeight="1">
      <c r="A15" s="2" t="inlineStr">
        <is>
          <t>FUL-01</t>
        </is>
      </c>
      <c r="B15" s="2" t="inlineStr">
        <is>
          <t>Nhiệm vụ phân công</t>
        </is>
      </c>
      <c r="C15" s="2" t="inlineStr">
        <is>
          <t>Cột Task ID</t>
        </is>
      </c>
      <c r="D15" s="2" t="inlineStr">
        <is>
          <t>THIẾU</t>
        </is>
      </c>
      <c r="E15" s="2" t="inlineStr">
        <is>
          <t>Thêm cột Task ID (FT100)</t>
        </is>
      </c>
      <c r="F15" s="5" t="inlineStr">
        <is>
          <t>P0</t>
        </is>
      </c>
      <c r="G15" s="2" t="inlineStr">
        <is>
          <t>Trace được task</t>
        </is>
      </c>
      <c r="H15" s="4" t="inlineStr">
        <is>
          <t>Open</t>
        </is>
      </c>
      <c r="I15" s="2" t="inlineStr"/>
      <c r="J15" s="2" t="inlineStr"/>
      <c r="K15" s="2" t="inlineStr"/>
    </row>
    <row r="16" ht="45" customHeight="1">
      <c r="A16" s="2" t="inlineStr">
        <is>
          <t>FUL-02</t>
        </is>
      </c>
      <c r="B16" s="2" t="inlineStr">
        <is>
          <t>Nhiệm vụ phân công</t>
        </is>
      </c>
      <c r="C16" s="2" t="inlineStr">
        <is>
          <t>Cột Booking ID</t>
        </is>
      </c>
      <c r="D16" s="2" t="inlineStr">
        <is>
          <t>THIẾU</t>
        </is>
      </c>
      <c r="E16" s="2" t="inlineStr">
        <is>
          <t>Thêm cột Booking ID</t>
        </is>
      </c>
      <c r="F16" s="5" t="inlineStr">
        <is>
          <t>P0</t>
        </is>
      </c>
      <c r="G16" s="2" t="inlineStr">
        <is>
          <t>Click vào → mở booking</t>
        </is>
      </c>
      <c r="H16" s="4" t="inlineStr">
        <is>
          <t>Open</t>
        </is>
      </c>
      <c r="I16" s="2" t="inlineStr"/>
      <c r="J16" s="2" t="inlineStr"/>
      <c r="K16" s="2" t="inlineStr"/>
    </row>
    <row r="17" ht="45" customHeight="1">
      <c r="A17" s="2" t="inlineStr">
        <is>
          <t>FUL-03</t>
        </is>
      </c>
      <c r="B17" s="2" t="inlineStr">
        <is>
          <t>Nhiệm vụ phân công</t>
        </is>
      </c>
      <c r="C17" s="2" t="inlineStr">
        <is>
          <t>Cột Xe (vehicleId)</t>
        </is>
      </c>
      <c r="D17" s="2" t="inlineStr">
        <is>
          <t>THIẾU</t>
        </is>
      </c>
      <c r="E17" s="2" t="inlineStr">
        <is>
          <t>Thêm cột Xe cho task INTERCITY (vd IV001 51B-10001), null cho BIKE/CAR</t>
        </is>
      </c>
      <c r="F17" s="5" t="inlineStr">
        <is>
          <t>P0</t>
        </is>
      </c>
      <c r="G17" s="2" t="inlineStr">
        <is>
          <t>FT100 phải show IV001</t>
        </is>
      </c>
      <c r="H17" s="4" t="inlineStr">
        <is>
          <t>Open</t>
        </is>
      </c>
      <c r="I17" s="2" t="inlineStr"/>
      <c r="J17" s="2" t="inlineStr"/>
      <c r="K17" s="2" t="inlineStr"/>
    </row>
    <row r="18" ht="45" customHeight="1">
      <c r="A18" s="2" t="inlineStr">
        <is>
          <t>FUL-04</t>
        </is>
      </c>
      <c r="B18" s="2" t="inlineStr">
        <is>
          <t>Nhiệm vụ phân công</t>
        </is>
      </c>
      <c r="C18" s="2" t="inlineStr">
        <is>
          <t>Loại dịch vụ chỉ show INSPECTION</t>
        </is>
      </c>
      <c r="D18" s="2" t="inlineStr">
        <is>
          <t>BUG</t>
        </is>
      </c>
      <c r="E18" s="2" t="inlineStr">
        <is>
          <t>Hiển thị đúng: BIKE/CAR/INTERCITY/SERVICE/MAINTENANCE</t>
        </is>
      </c>
      <c r="F18" s="5" t="inlineStr">
        <is>
          <t>P0</t>
        </is>
      </c>
      <c r="G18" s="2" t="inlineStr">
        <is>
          <t>FT001 → BIKE; FT100 → INTERCITY</t>
        </is>
      </c>
      <c r="H18" s="4" t="inlineStr">
        <is>
          <t>Open</t>
        </is>
      </c>
      <c r="I18" s="2" t="inlineStr"/>
      <c r="J18" s="2" t="inlineStr"/>
      <c r="K18" s="2" t="inlineStr">
        <is>
          <t>Bug mapping</t>
        </is>
      </c>
    </row>
    <row r="19" ht="45" customHeight="1">
      <c r="A19" s="2" t="inlineStr">
        <is>
          <t>FUL-05</t>
        </is>
      </c>
      <c r="B19" s="2" t="inlineStr">
        <is>
          <t>Nhiệm vụ phân công</t>
        </is>
      </c>
      <c r="C19" s="2" t="inlineStr">
        <is>
          <t>Cột Tài xế toàn ""—""</t>
        </is>
      </c>
      <c r="D19" s="2" t="inlineStr">
        <is>
          <t>BUG</t>
        </is>
      </c>
      <c r="E19" s="2" t="inlineStr">
        <is>
          <t>Join với DRIVERS + INTERCITY_DRIVERS để show tên</t>
        </is>
      </c>
      <c r="F19" s="5" t="inlineStr">
        <is>
          <t>P0</t>
        </is>
      </c>
      <c r="G19" s="2" t="inlineStr">
        <is>
          <t>FT001 → Nguyễn Văn An</t>
        </is>
      </c>
      <c r="H19" s="4" t="inlineStr">
        <is>
          <t>Open</t>
        </is>
      </c>
      <c r="I19" s="2" t="inlineStr"/>
      <c r="J19" s="2" t="inlineStr"/>
      <c r="K19" s="2" t="inlineStr">
        <is>
          <t>Bug join data</t>
        </is>
      </c>
    </row>
    <row r="20" ht="45" customHeight="1">
      <c r="A20" s="2" t="inlineStr">
        <is>
          <t>FUL-07</t>
        </is>
      </c>
      <c r="B20" s="2" t="inlineStr">
        <is>
          <t>Nhiệm vụ phân công</t>
        </is>
      </c>
      <c r="C20" s="2" t="inlineStr">
        <is>
          <t>3-column view khi tab INTERCITY</t>
        </is>
      </c>
      <c r="D20" s="2" t="inlineStr">
        <is>
          <t>Cần check</t>
        </is>
      </c>
      <c r="E20" s="2" t="inlineStr">
        <is>
          <t>Tab Intercity: chờ phân công + xe sẵn sàng + TX sẵn sàng (3 col)</t>
        </is>
      </c>
      <c r="F20" s="6" t="inlineStr">
        <is>
          <t>P1</t>
        </is>
      </c>
      <c r="G20" s="2" t="inlineStr">
        <is>
          <t>Click tab Liên tỉnh → 3 cột</t>
        </is>
      </c>
      <c r="H20" s="4" t="inlineStr">
        <is>
          <t>Open</t>
        </is>
      </c>
      <c r="I20" s="2" t="inlineStr"/>
      <c r="J20" s="2" t="inlineStr"/>
      <c r="K20" s="2" t="inlineStr"/>
    </row>
    <row r="21" ht="45" customHeight="1">
      <c r="A21" s="2" t="inlineStr">
        <is>
          <t>INT-01</t>
        </is>
      </c>
      <c r="B21" s="2" t="inlineStr">
        <is>
          <t>Đặt vé liên tỉnh</t>
        </is>
      </c>
      <c r="C21" s="2" t="inlineStr">
        <is>
          <t>Select Số khách</t>
        </is>
      </c>
      <c r="D21" s="2" t="inlineStr">
        <is>
          <t>THIẾU</t>
        </is>
      </c>
      <c r="E21" s="2" t="inlineStr">
        <is>
          <t>Thêm select 1-5 khách</t>
        </is>
      </c>
      <c r="F21" s="6" t="inlineStr">
        <is>
          <t>P1</t>
        </is>
      </c>
      <c r="G21" s="2" t="inlineStr">
        <is>
          <t>Chọn 3 khách → lọc chuyến ghế trống &gt;= 3</t>
        </is>
      </c>
      <c r="H21" s="4" t="inlineStr">
        <is>
          <t>Open</t>
        </is>
      </c>
      <c r="I21" s="2" t="inlineStr"/>
      <c r="J21" s="2" t="inlineStr"/>
      <c r="K21" s="2" t="inlineStr"/>
    </row>
    <row r="22" ht="45" customHeight="1">
      <c r="A22" s="2" t="inlineStr">
        <is>
          <t>INT-02</t>
        </is>
      </c>
      <c r="B22" s="2" t="inlineStr">
        <is>
          <t>Đặt vé liên tỉnh</t>
        </is>
      </c>
      <c r="C22" s="2" t="inlineStr">
        <is>
          <t>Nút swap ⇄ điểm đi/đến</t>
        </is>
      </c>
      <c r="D22" s="2" t="inlineStr">
        <is>
          <t>THIẾU</t>
        </is>
      </c>
      <c r="E22" s="2" t="inlineStr">
        <is>
          <t>Thêm nút swap giữa Điểm đi và Điểm đến</t>
        </is>
      </c>
      <c r="F22" s="3" t="inlineStr">
        <is>
          <t>P2</t>
        </is>
      </c>
      <c r="G22" s="2" t="inlineStr">
        <is>
          <t>Click ⇄ → 2 select đổi chỗ</t>
        </is>
      </c>
      <c r="H22" s="4" t="inlineStr">
        <is>
          <t>Open</t>
        </is>
      </c>
      <c r="I22" s="2" t="inlineStr"/>
      <c r="J22" s="2" t="inlineStr"/>
      <c r="K22" s="2" t="inlineStr"/>
    </row>
    <row r="23" ht="45" customHeight="1">
      <c r="A23" s="2" t="inlineStr">
        <is>
          <t>REG-02</t>
        </is>
      </c>
      <c r="B23" s="2" t="inlineStr">
        <is>
          <t>Đăng kiểm hộ</t>
        </is>
      </c>
      <c r="C23" s="2" t="inlineStr">
        <is>
          <t>Cột Mã đơn</t>
        </is>
      </c>
      <c r="D23" s="2" t="inlineStr">
        <is>
          <t>THIẾU</t>
        </is>
      </c>
      <c r="E23" s="2" t="inlineStr">
        <is>
          <t>Thêm cột Mã đơn (REG001 ...)</t>
        </is>
      </c>
      <c r="F23" s="6" t="inlineStr">
        <is>
          <t>P1</t>
        </is>
      </c>
      <c r="G23" s="2" t="inlineStr">
        <is>
          <t>Copy được mã đơn</t>
        </is>
      </c>
      <c r="H23" s="4" t="inlineStr">
        <is>
          <t>Open</t>
        </is>
      </c>
      <c r="I23" s="2" t="inlineStr"/>
      <c r="J23" s="2" t="inlineStr"/>
      <c r="K23" s="2" t="inlineStr"/>
    </row>
    <row r="24" ht="45" customHeight="1">
      <c r="A24" s="2" t="inlineStr">
        <is>
          <t>MNT-01</t>
        </is>
      </c>
      <c r="B24" s="2" t="inlineStr">
        <is>
          <t>Bảo dưỡng</t>
        </is>
      </c>
      <c r="C24" s="2" t="inlineStr">
        <is>
          <t>Trang Bảo dưỡng riêng</t>
        </is>
      </c>
      <c r="D24" s="2" t="inlineStr">
        <is>
          <t>Cần check</t>
        </is>
      </c>
      <c r="E24" s="2" t="inlineStr">
        <is>
          <t>Tab riêng song song Đăng kiểm với cùng schema</t>
        </is>
      </c>
      <c r="F24" s="6" t="inlineStr">
        <is>
          <t>P1</t>
        </is>
      </c>
      <c r="G24" s="2" t="inlineStr">
        <is>
          <t>Mở tab Bảo dưỡng → list MNT001+</t>
        </is>
      </c>
      <c r="H24" s="4" t="inlineStr">
        <is>
          <t>Open</t>
        </is>
      </c>
      <c r="I24" s="2" t="inlineStr"/>
      <c r="J24" s="2" t="inlineStr"/>
      <c r="K24" s="2" t="inlineStr"/>
    </row>
    <row r="25" ht="45" customHeight="1">
      <c r="A25" s="2" t="inlineStr">
        <is>
          <t>USR-01</t>
        </is>
      </c>
      <c r="B25" s="2" t="inlineStr">
        <is>
          <t>Người dùng</t>
        </is>
      </c>
      <c r="C25" s="2" t="inlineStr">
        <is>
          <t>Tab Vai trò &amp; Quyền</t>
        </is>
      </c>
      <c r="D25" s="2" t="inlineStr">
        <is>
          <t>Cần check</t>
        </is>
      </c>
      <c r="E25" s="2" t="inlineStr">
        <is>
          <t>Tab Roles riêng với checkbox quyền (booking.view/create/cancel ...)</t>
        </is>
      </c>
      <c r="F25" s="6" t="inlineStr">
        <is>
          <t>P1</t>
        </is>
      </c>
      <c r="G25" s="2" t="inlineStr">
        <is>
          <t>Click tab Roles → list 5 role</t>
        </is>
      </c>
      <c r="H25" s="4" t="inlineStr">
        <is>
          <t>Open</t>
        </is>
      </c>
      <c r="I25" s="2" t="inlineStr"/>
      <c r="J25" s="2" t="inlineStr"/>
      <c r="K25" s="2" t="inlineStr"/>
    </row>
    <row r="26" ht="45" customHeight="1">
      <c r="A26" s="2" t="inlineStr">
        <is>
          <t>WAL-01</t>
        </is>
      </c>
      <c r="B26" s="2" t="inlineStr">
        <is>
          <t>Ví &amp; Thanh toán</t>
        </is>
      </c>
      <c r="C26" s="2" t="inlineStr">
        <is>
          <t>Tab Wallet + Tab Transactions</t>
        </is>
      </c>
      <c r="D26" s="2" t="inlineStr">
        <is>
          <t>Cần check</t>
        </is>
      </c>
      <c r="E26" s="2" t="inlineStr">
        <is>
          <t>2 bảng: Wallets + Transactions gần đây</t>
        </is>
      </c>
      <c r="F26" s="6" t="inlineStr">
        <is>
          <t>P1</t>
        </is>
      </c>
      <c r="G26" s="2" t="inlineStr">
        <is>
          <t>Cuộn → có 2 bảng</t>
        </is>
      </c>
      <c r="H26" s="4" t="inlineStr">
        <is>
          <t>Open</t>
        </is>
      </c>
      <c r="I26" s="2" t="inlineStr"/>
      <c r="J26" s="2" t="inlineStr"/>
      <c r="K26" s="2" t="inlineStr"/>
    </row>
    <row r="27" ht="45" customHeight="1">
      <c r="A27" s="2" t="inlineStr">
        <is>
          <t>REF-01</t>
        </is>
      </c>
      <c r="B27" s="2" t="inlineStr">
        <is>
          <t>Hoàn tiền</t>
        </is>
      </c>
      <c r="C27" s="2" t="inlineStr">
        <is>
          <t>Cột Người xử lý</t>
        </is>
      </c>
      <c r="D27" s="2" t="inlineStr">
        <is>
          <t>Cần check</t>
        </is>
      </c>
      <c r="E27" s="2" t="inlineStr">
        <is>
          <t>Cột processedBy (vd USR002) để audit</t>
        </is>
      </c>
      <c r="F27" s="6" t="inlineStr">
        <is>
          <t>P1</t>
        </is>
      </c>
      <c r="G27" s="2" t="inlineStr">
        <is>
          <t>RF001 → USR002</t>
        </is>
      </c>
      <c r="H27" s="4" t="inlineStr">
        <is>
          <t>Open</t>
        </is>
      </c>
      <c r="I27" s="2" t="inlineStr"/>
      <c r="J27" s="2" t="inlineStr"/>
      <c r="K27" s="2" t="inlineStr"/>
    </row>
    <row r="28" ht="45" customHeight="1">
      <c r="A28" s="2" t="inlineStr">
        <is>
          <t>PRM-01</t>
        </is>
      </c>
      <c r="B28" s="2" t="inlineStr">
        <is>
          <t>Mã ưu đãi</t>
        </is>
      </c>
      <c r="C28" s="2" t="inlineStr">
        <is>
          <t>Cột Loại xe áp dụng</t>
        </is>
      </c>
      <c r="D28" s="2" t="inlineStr">
        <is>
          <t>Cần check</t>
        </is>
      </c>
      <c r="E28" s="2" t="inlineStr">
        <is>
          <t>Cột vehicleTypes (BIKE/CAR/INTERCITY...) - badges</t>
        </is>
      </c>
      <c r="F28" s="6" t="inlineStr">
        <is>
          <t>P1</t>
        </is>
      </c>
      <c r="G28" s="2" t="inlineStr">
        <is>
          <t>PM001 → BIKE CAR</t>
        </is>
      </c>
      <c r="H28" s="4" t="inlineStr">
        <is>
          <t>Open</t>
        </is>
      </c>
      <c r="I28" s="2" t="inlineStr"/>
      <c r="J28" s="2" t="inlineStr"/>
      <c r="K28" s="2" t="inlineStr"/>
    </row>
    <row r="29" ht="45" customHeight="1">
      <c r="A29" s="2" t="inlineStr">
        <is>
          <t>COM-01</t>
        </is>
      </c>
      <c r="B29" s="2" t="inlineStr">
        <is>
          <t>Chiết khấu</t>
        </is>
      </c>
      <c r="C29" s="2" t="inlineStr">
        <is>
          <t>Bảng config + Bảng history</t>
        </is>
      </c>
      <c r="D29" s="2" t="inlineStr">
        <is>
          <t>Cần check</t>
        </is>
      </c>
      <c r="E29" s="2" t="inlineStr">
        <is>
          <t>2 bảng: Config (rate theo loại xe) + History (CH001+)</t>
        </is>
      </c>
      <c r="F29" s="6" t="inlineStr">
        <is>
          <t>P1</t>
        </is>
      </c>
      <c r="G29" s="2" t="inlineStr">
        <is>
          <t>Cuộn</t>
        </is>
      </c>
      <c r="H29" s="4" t="inlineStr">
        <is>
          <t>Open</t>
        </is>
      </c>
      <c r="I29" s="2" t="inlineStr"/>
      <c r="J29" s="2" t="inlineStr"/>
      <c r="K29" s="2" t="inlineStr"/>
    </row>
    <row r="30" ht="45" customHeight="1">
      <c r="A30" s="2" t="inlineStr">
        <is>
          <t>AUD-01</t>
        </is>
      </c>
      <c r="B30" s="2" t="inlineStr">
        <is>
          <t>Nhật ký hoạt động</t>
        </is>
      </c>
      <c r="C30" s="2" t="inlineStr">
        <is>
          <t>Cột Trace ID + Before/After</t>
        </is>
      </c>
      <c r="D30" s="2" t="inlineStr">
        <is>
          <t>Cần check</t>
        </is>
      </c>
      <c r="E30" s="2" t="inlineStr">
        <is>
          <t>Trace ID để correlate + JSON diff before/after</t>
        </is>
      </c>
      <c r="F30" s="6" t="inlineStr">
        <is>
          <t>P1</t>
        </is>
      </c>
      <c r="G30" s="2" t="inlineStr">
        <is>
          <t>Click 1 row → xem JSON</t>
        </is>
      </c>
      <c r="H30" s="4" t="inlineStr">
        <is>
          <t>Open</t>
        </is>
      </c>
      <c r="I30" s="2" t="inlineStr"/>
      <c r="J30" s="2" t="inlineStr"/>
      <c r="K30" s="2" t="inlineStr"/>
    </row>
    <row r="31" ht="45" customHeight="1">
      <c r="A31" s="2" t="inlineStr">
        <is>
          <t>MON-01</t>
        </is>
      </c>
      <c r="B31" s="2" t="inlineStr">
        <is>
          <t>Giám sát hệ thống</t>
        </is>
      </c>
      <c r="C31" s="2" t="inlineStr">
        <is>
          <t>Bảng services + uptime/latency</t>
        </is>
      </c>
      <c r="D31" s="2" t="inlineStr">
        <is>
          <t>Cần check</t>
        </is>
      </c>
      <c r="E31" s="2" t="inlineStr">
        <is>
          <t>5-6 service: mobility/wallet/fulfillment/transport/users/notification</t>
        </is>
      </c>
      <c r="F31" s="6" t="inlineStr">
        <is>
          <t>P1</t>
        </is>
      </c>
      <c r="G31" s="2" t="inlineStr">
        <is>
          <t>Mở Monitoring</t>
        </is>
      </c>
      <c r="H31" s="4" t="inlineStr">
        <is>
          <t>Open</t>
        </is>
      </c>
      <c r="I31" s="2" t="inlineStr"/>
      <c r="J31" s="2" t="inlineStr"/>
      <c r="K31" s="2" t="inlineStr"/>
    </row>
    <row r="32" ht="45" customHeight="1">
      <c r="A32" s="2" t="inlineStr">
        <is>
          <t>RBAC-01</t>
        </is>
      </c>
      <c r="B32" s="2" t="inlineStr">
        <is>
          <t>Toàn site</t>
        </is>
      </c>
      <c r="C32" s="2" t="inlineStr">
        <is>
          <t>Filter sidebar theo role</t>
        </is>
      </c>
      <c r="D32" s="2" t="inlineStr">
        <is>
          <t>Cần check</t>
        </is>
      </c>
      <c r="E32" s="2" t="inlineStr">
        <is>
          <t>OPERATOR ẩn Users/Audit; AGENT chỉ Bookings/Wallet/Intercity</t>
        </is>
      </c>
      <c r="F32" s="5" t="inlineStr">
        <is>
          <t>P0</t>
        </is>
      </c>
      <c r="G32" s="2" t="inlineStr">
        <is>
          <t>Switch role → sidebar update</t>
        </is>
      </c>
      <c r="H32" s="4" t="inlineStr">
        <is>
          <t>Open</t>
        </is>
      </c>
      <c r="I32" s="2" t="inlineStr"/>
      <c r="J32" s="2" t="inlineStr"/>
      <c r="K32" s="2" t="inlineStr"/>
    </row>
    <row r="33" ht="45" customHeight="1">
      <c r="A33" s="2" t="inlineStr">
        <is>
          <t>TIME-01</t>
        </is>
      </c>
      <c r="B33" s="2" t="inlineStr">
        <is>
          <t>Phân công</t>
        </is>
      </c>
      <c r="C33" s="2" t="inlineStr">
        <is>
          <t>Time conflict khi gán TX/Xe</t>
        </is>
      </c>
      <c r="D33" s="2" t="inlineStr">
        <is>
          <t>Cần check</t>
        </is>
      </c>
      <c r="E33" s="2" t="inlineStr">
        <is>
          <t>TX/Xe busy → không hiện trong dropdown nếu overlap; hiện kèm hint nếu không overlap</t>
        </is>
      </c>
      <c r="F33" s="5" t="inlineStr">
        <is>
          <t>P0</t>
        </is>
      </c>
      <c r="G33" s="2" t="inlineStr">
        <is>
          <t>Mở dispatch BK101 → IDR001 KHÔNG có; BK102 → IDR001 có kèm hint</t>
        </is>
      </c>
      <c r="H33" s="4" t="inlineStr">
        <is>
          <t>Open</t>
        </is>
      </c>
      <c r="I33" s="2" t="inlineStr"/>
      <c r="J33" s="2" t="inlineStr"/>
      <c r="K33" s="2" t="inlineStr"/>
    </row>
    <row r="34" ht="45" customHeight="1">
      <c r="A34" s="2" t="inlineStr">
        <is>
          <t>RESP-01</t>
        </is>
      </c>
      <c r="B34" s="2" t="inlineStr">
        <is>
          <t>Toàn site</t>
        </is>
      </c>
      <c r="C34" s="2" t="inlineStr">
        <is>
          <t>Responsive mobile</t>
        </is>
      </c>
      <c r="D34" s="2" t="inlineStr">
        <is>
          <t>Cần check</t>
        </is>
      </c>
      <c r="E34" s="2" t="inlineStr">
        <is>
          <t>Sidebar collapse + table scroll horizontal</t>
        </is>
      </c>
      <c r="F34" s="6" t="inlineStr">
        <is>
          <t>P1</t>
        </is>
      </c>
      <c r="G34" s="2" t="inlineStr">
        <is>
          <t>Resize 375px</t>
        </is>
      </c>
      <c r="H34" s="4" t="inlineStr">
        <is>
          <t>Open</t>
        </is>
      </c>
      <c r="I34" s="2" t="inlineStr"/>
      <c r="J34" s="2" t="inlineStr"/>
      <c r="K34" s="2" t="inlineStr"/>
    </row>
  </sheetData>
  <autoFilter ref="A1:K34"/>
  <dataValidations count="2">
    <dataValidation sqref="H2:H34" showDropDown="0" showInputMessage="0" showErrorMessage="0" allowBlank="1" type="list">
      <formula1>"Open,Pass,Fail,Blocked,Skipped"</formula1>
    </dataValidation>
    <dataValidation sqref="F2:F34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Priority</t>
        </is>
      </c>
      <c r="B1" s="7" t="inlineStr">
        <is>
          <t>Tổng</t>
        </is>
      </c>
      <c r="C1" s="7" t="inlineStr">
        <is>
          <t>Open</t>
        </is>
      </c>
      <c r="D1" s="7" t="inlineStr">
        <is>
          <t>Pass</t>
        </is>
      </c>
      <c r="E1" s="7" t="inlineStr">
        <is>
          <t>Fail</t>
        </is>
      </c>
    </row>
    <row r="2">
      <c r="A2" s="8" t="inlineStr">
        <is>
          <t>P0</t>
        </is>
      </c>
      <c r="B2">
        <f>COUNTIF(Checklist!F2:F34,"P0")</f>
        <v/>
      </c>
      <c r="C2">
        <f>COUNTIFS(Checklist!F2:F34,"P0",Checklist!H2:H34,"Open")</f>
        <v/>
      </c>
      <c r="D2">
        <f>COUNTIFS(Checklist!F2:F34,"P0",Checklist!H2:H34,"Pass")</f>
        <v/>
      </c>
      <c r="E2">
        <f>COUNTIFS(Checklist!F2:F34,"P0",Checklist!H2:H34,"Fail")</f>
        <v/>
      </c>
    </row>
    <row r="3">
      <c r="A3" s="8" t="inlineStr">
        <is>
          <t>P1</t>
        </is>
      </c>
      <c r="B3">
        <f>COUNTIF(Checklist!F2:F34,"P1")</f>
        <v/>
      </c>
      <c r="C3">
        <f>COUNTIFS(Checklist!F2:F34,"P1",Checklist!H2:H34,"Open")</f>
        <v/>
      </c>
      <c r="D3">
        <f>COUNTIFS(Checklist!F2:F34,"P1",Checklist!H2:H34,"Pass")</f>
        <v/>
      </c>
      <c r="E3">
        <f>COUNTIFS(Checklist!F2:F34,"P1",Checklist!H2:H34,"Fail")</f>
        <v/>
      </c>
    </row>
    <row r="4">
      <c r="A4" s="8" t="inlineStr">
        <is>
          <t>P2</t>
        </is>
      </c>
      <c r="B4">
        <f>COUNTIF(Checklist!F2:F34,"P2")</f>
        <v/>
      </c>
      <c r="C4">
        <f>COUNTIFS(Checklist!F2:F34,"P2",Checklist!H2:H34,"Open")</f>
        <v/>
      </c>
      <c r="D4">
        <f>COUNTIFS(Checklist!F2:F34,"P2",Checklist!H2:H34,"Pass")</f>
        <v/>
      </c>
      <c r="E4">
        <f>COUNTIFS(Checklist!F2:F34,"P2",Checklist!H2:H34,"Fail")</f>
        <v/>
      </c>
    </row>
    <row r="5">
      <c r="A5" s="9" t="inlineStr">
        <is>
          <t>TỔNG</t>
        </is>
      </c>
      <c r="B5" s="9">
        <f>SUM(B2:B4)</f>
        <v/>
      </c>
      <c r="C5" s="9">
        <f>SUM(C2:C4)</f>
        <v/>
      </c>
      <c r="D5" s="9">
        <f>SUM(D2:D4)</f>
        <v/>
      </c>
      <c r="E5" s="9">
        <f>SUM(E2:E4)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Xem chi tiết spec tại file:</t>
        </is>
      </c>
      <c r="B1" s="11" t="inlineStr">
        <is>
          <t>docs/table-headers-spec.md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2026-05-28T11:38:54Z</dcterms:created>
  <dcterms:modified xsi:type="dcterms:W3CDTF">2026-05-28T11:38:54Z</dcterms:modified>
</cp:coreProperties>
</file>